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3eccc856e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8633ab763964458e"/>
    <x:sheet xmlns:r="http://schemas.openxmlformats.org/officeDocument/2006/relationships" name="服務量原始資料" sheetId="2" r:id="R487ffae6a2804dd0"/>
    <x:sheet xmlns:r="http://schemas.openxmlformats.org/officeDocument/2006/relationships" name="清理練習" sheetId="3" r:id="R1d79837e0fd24097"/>
    <x:sheet xmlns:r="http://schemas.openxmlformats.org/officeDocument/2006/relationships" name="活動預算" sheetId="4" r:id="Rb62e765b8f50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2"/>
      <x:color rgb="FF243B35"/>
      <x:name val="Helvetica Neue"/>
    </x:font>
    <x:font>
      <x:b/>
      <x:sz val="12"/>
      <x:color rgb="FFFFFFFF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16253"/>
      </x:patternFill>
    </x:fill>
    <x:fill>
      <x:patternFill patternType="solid">
        <x:fgColor rgb="FFEAF0E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3368104394a83" /><Relationship Type="http://schemas.openxmlformats.org/officeDocument/2006/relationships/theme" Target="/xl/theme/theme1.xml" Id="Rc046a25f8d954293" /><Relationship Type="http://schemas.openxmlformats.org/officeDocument/2006/relationships/sharedStrings" Target="/xl/sharedStrings.xml" Id="R3f8b5819521b4d66" /><Relationship Type="http://schemas.openxmlformats.org/officeDocument/2006/relationships/worksheet" Target="/xl/worksheets/sheet1.xml" Id="R8633ab763964458e" /><Relationship Type="http://schemas.openxmlformats.org/officeDocument/2006/relationships/worksheet" Target="/xl/worksheets/sheet2.xml" Id="R487ffae6a2804dd0" /><Relationship Type="http://schemas.openxmlformats.org/officeDocument/2006/relationships/worksheet" Target="/xl/worksheets/sheet3.xml" Id="R1d79837e0fd24097" /><Relationship Type="http://schemas.openxmlformats.org/officeDocument/2006/relationships/worksheet" Target="/xl/worksheets/sheet4.xml" Id="Rb62e765b8f5047b8" /></Relationships>
</file>

<file path=xl/tables/table1.xml><?xml version="1.0" encoding="utf-8"?>
<x:table xmlns:x="http://schemas.openxmlformats.org/spreadsheetml/2006/main" id="1" name="ServiceData" displayName="ServiceData" ref="A1:D49" headerRowCount="1" totalsRowCount="0" totalsRowShown="0">
  <x:tableColumns count="4">
    <x:tableColumn id="1" name="月份"/>
    <x:tableColumn id="2" name="服務類型"/>
    <x:tableColumn id="3" name="服務人次"/>
    <x:tableColumn id="4" name="支出金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Data" displayName="CleaningData" ref="A1:E14" headerRowCount="1" totalsRowCount="0" totalsRowShown="0">
  <x:tableColumns count="5">
    <x:tableColumn id="1" name="列號"/>
    <x:tableColumn id="2" name="月份"/>
    <x:tableColumn id="3" name="服務類型"/>
    <x:tableColumn id="4" name="服務人次"/>
    <x:tableColumn id="5" name="支出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28ac409fd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f1d2e60c344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 ht="30" customHeight="1">
      <x:c r="A1" s="3" t="str">
        <x:v>項目</x:v>
      </x:c>
      <x:c r="B1" s="3" t="str">
        <x:v>說明</x:v>
      </x:c>
    </x:row>
    <x:row r="2" ht="42" customHeight="1">
      <x:c r="A2" s="1" t="str">
        <x:v>資料範圍</x:v>
      </x:c>
      <x:c r="B2" s="4" t="str">
        <x:v>2025全年服務量與暖冬送愛預算，全部為教學用虛構資料。</x:v>
      </x:c>
    </x:row>
    <x:row r="3" ht="42" customHeight="1">
      <x:c r="A3" s="1" t="str">
        <x:v>第一步：讀取</x:v>
      </x:c>
      <x:c r="B3" s="4" t="str">
        <x:v>上傳本檔，請AI說明各工作表、欄位與資料問題，先不要改檔。</x:v>
      </x:c>
    </x:row>
    <x:row r="4" ht="42" customHeight="1">
      <x:c r="A4" s="1" t="str">
        <x:v>第二步：整理</x:v>
      </x:c>
      <x:c r="B4" s="4" t="str">
        <x:v>保留原始工作表，另建清理資料與問題清單；保留原值與修改理由。</x:v>
      </x:c>
    </x:row>
    <x:row r="5" ht="42" customHeight="1">
      <x:c r="A5" s="1" t="str">
        <x:v>第三步：分析</x:v>
      </x:c>
      <x:c r="B5" s="4" t="str">
        <x:v>按月份、服務類型彙總；用公式計算並建立月度趨勢圖。</x:v>
      </x:c>
    </x:row>
    <x:row r="6" ht="42" customHeight="1">
      <x:c r="A6" s="1" t="str">
        <x:v>第四步：交付</x:v>
      </x:c>
      <x:c r="B6" s="4" t="str">
        <x:v>請AI提供可下載的.xlsx，開啟後核對原始資料、公式與圖表。</x:v>
      </x:c>
    </x:row>
    <x:row r="7" ht="42" customHeight="1">
      <x:c r="A7" s="1" t="str">
        <x:v>零值與缺漏</x:v>
      </x:c>
      <x:c r="B7" s="4" t="str">
        <x:v>服務量中的家訪支出為0，意義待確認；清理練習的空白不得直接補0。</x:v>
      </x:c>
    </x:row>
    <x:row r="8" ht="42" customHeight="1">
      <x:c r="A8" s="1" t="str">
        <x:v>活動預算</x:v>
      </x:c>
      <x:c r="B8" s="4" t="str">
        <x:v>是預定金額，不是實際支出或已完成成果。</x:v>
      </x:c>
    </x:row>
    <x:row r="9" ht="42" customHeight="1">
      <x:c r="A9" s="1" t="str">
        <x:v>來源</x:v>
      </x:c>
      <x:c r="B9" s="4" t="str">
        <x:v>服務量：教材素材04；預算：素材01經費表；清理練習：同表摘錄加教學變化。</x:v>
      </x:c>
    </x:row>
    <x:row r="10" ht="42" customHeight="1">
      <x:c r="A10" s="1" t="str">
        <x:v>完成範圍</x:v>
      </x:c>
      <x:c r="B10" s="4" t="str">
        <x:v>本檔是練習輸入，沒有預先完成彙總圖表。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月份</x:v>
      </x:c>
      <x:c r="B1" s="3" t="str">
        <x:v>服務類型</x:v>
      </x:c>
      <x:c r="C1" s="3" t="str">
        <x:v>服務人次</x:v>
      </x:c>
      <x:c r="D1" s="3" t="str">
        <x:v>支出金額</x:v>
      </x:c>
    </x:row>
    <x:row r="2" ht="26" customHeight="1">
      <x:c r="A2" s="1" t="str">
        <x:v>2025-01</x:v>
      </x:c>
      <x:c r="B2" s="1" t="str">
        <x:v>家訪服務</x:v>
      </x:c>
      <x:c r="C2" s="5" t="n">
        <x:v>792</x:v>
      </x:c>
      <x:c r="D2" s="5" t="n">
        <x:v>0</x:v>
      </x:c>
    </x:row>
    <x:row r="3" ht="26" customHeight="1">
      <x:c r="A3" s="1" t="str">
        <x:v>2025-01</x:v>
      </x:c>
      <x:c r="B3" s="1" t="str">
        <x:v>急難救助</x:v>
      </x:c>
      <x:c r="C3" s="5" t="n">
        <x:v>62</x:v>
      </x:c>
      <x:c r="D3" s="5" t="n">
        <x:v>1116000</x:v>
      </x:c>
    </x:row>
    <x:row r="4" ht="26" customHeight="1">
      <x:c r="A4" s="1" t="str">
        <x:v>2025-01</x:v>
      </x:c>
      <x:c r="B4" s="1" t="str">
        <x:v>物資發放</x:v>
      </x:c>
      <x:c r="C4" s="5" t="n">
        <x:v>696</x:v>
      </x:c>
      <x:c r="D4" s="5" t="n">
        <x:v>626400</x:v>
      </x:c>
    </x:row>
    <x:row r="5" ht="26" customHeight="1">
      <x:c r="A5" s="1" t="str">
        <x:v>2025-01</x:v>
      </x:c>
      <x:c r="B5" s="1" t="str">
        <x:v>課後照顧</x:v>
      </x:c>
      <x:c r="C5" s="5" t="n">
        <x:v>1415</x:v>
      </x:c>
      <x:c r="D5" s="5" t="n">
        <x:v>1698000</x:v>
      </x:c>
    </x:row>
    <x:row r="6" ht="26" customHeight="1">
      <x:c r="A6" s="1" t="str">
        <x:v>2025-02</x:v>
      </x:c>
      <x:c r="B6" s="1" t="str">
        <x:v>家訪服務</x:v>
      </x:c>
      <x:c r="C6" s="5" t="n">
        <x:v>794</x:v>
      </x:c>
      <x:c r="D6" s="5" t="n">
        <x:v>0</x:v>
      </x:c>
    </x:row>
    <x:row r="7" ht="26" customHeight="1">
      <x:c r="A7" s="1" t="str">
        <x:v>2025-02</x:v>
      </x:c>
      <x:c r="B7" s="1" t="str">
        <x:v>急難救助</x:v>
      </x:c>
      <x:c r="C7" s="5" t="n">
        <x:v>62</x:v>
      </x:c>
      <x:c r="D7" s="5" t="n">
        <x:v>1116000</x:v>
      </x:c>
    </x:row>
    <x:row r="8" ht="26" customHeight="1">
      <x:c r="A8" s="1" t="str">
        <x:v>2025-02</x:v>
      </x:c>
      <x:c r="B8" s="1" t="str">
        <x:v>物資發放</x:v>
      </x:c>
      <x:c r="C8" s="5" t="n">
        <x:v>535</x:v>
      </x:c>
      <x:c r="D8" s="5" t="n">
        <x:v>481500</x:v>
      </x:c>
    </x:row>
    <x:row r="9" ht="26" customHeight="1">
      <x:c r="A9" s="1" t="str">
        <x:v>2025-02</x:v>
      </x:c>
      <x:c r="B9" s="1" t="str">
        <x:v>課後照顧</x:v>
      </x:c>
      <x:c r="C9" s="5" t="n">
        <x:v>1422</x:v>
      </x:c>
      <x:c r="D9" s="5" t="n">
        <x:v>1706400</x:v>
      </x:c>
    </x:row>
    <x:row r="10" ht="26" customHeight="1">
      <x:c r="A10" s="1" t="str">
        <x:v>2025-03</x:v>
      </x:c>
      <x:c r="B10" s="1" t="str">
        <x:v>家訪服務</x:v>
      </x:c>
      <x:c r="C10" s="5" t="n">
        <x:v>935</x:v>
      </x:c>
      <x:c r="D10" s="5" t="n">
        <x:v>0</x:v>
      </x:c>
    </x:row>
    <x:row r="11" ht="26" customHeight="1">
      <x:c r="A11" s="1" t="str">
        <x:v>2025-03</x:v>
      </x:c>
      <x:c r="B11" s="1" t="str">
        <x:v>急難救助</x:v>
      </x:c>
      <x:c r="C11" s="5" t="n">
        <x:v>62</x:v>
      </x:c>
      <x:c r="D11" s="5" t="n">
        <x:v>1116000</x:v>
      </x:c>
    </x:row>
    <x:row r="12" ht="26" customHeight="1">
      <x:c r="A12" s="1" t="str">
        <x:v>2025-03</x:v>
      </x:c>
      <x:c r="B12" s="1" t="str">
        <x:v>物資發放</x:v>
      </x:c>
      <x:c r="C12" s="5" t="n">
        <x:v>535</x:v>
      </x:c>
      <x:c r="D12" s="5" t="n">
        <x:v>481500</x:v>
      </x:c>
    </x:row>
    <x:row r="13" ht="26" customHeight="1">
      <x:c r="A13" s="1" t="str">
        <x:v>2025-03</x:v>
      </x:c>
      <x:c r="B13" s="1" t="str">
        <x:v>課後照顧</x:v>
      </x:c>
      <x:c r="C13" s="5" t="n">
        <x:v>1430</x:v>
      </x:c>
      <x:c r="D13" s="5" t="n">
        <x:v>1716000</x:v>
      </x:c>
    </x:row>
    <x:row r="14" ht="26" customHeight="1">
      <x:c r="A14" s="1" t="str">
        <x:v>2025-04</x:v>
      </x:c>
      <x:c r="B14" s="1" t="str">
        <x:v>家訪服務</x:v>
      </x:c>
      <x:c r="C14" s="5" t="n">
        <x:v>937</x:v>
      </x:c>
      <x:c r="D14" s="5" t="n">
        <x:v>0</x:v>
      </x:c>
    </x:row>
    <x:row r="15" ht="26" customHeight="1">
      <x:c r="A15" s="1" t="str">
        <x:v>2025-04</x:v>
      </x:c>
      <x:c r="B15" s="1" t="str">
        <x:v>急難救助</x:v>
      </x:c>
      <x:c r="C15" s="5" t="n">
        <x:v>62</x:v>
      </x:c>
      <x:c r="D15" s="5" t="n">
        <x:v>1116000</x:v>
      </x:c>
    </x:row>
    <x:row r="16" ht="26" customHeight="1">
      <x:c r="A16" s="1" t="str">
        <x:v>2025-04</x:v>
      </x:c>
      <x:c r="B16" s="1" t="str">
        <x:v>物資發放</x:v>
      </x:c>
      <x:c r="C16" s="5" t="n">
        <x:v>535</x:v>
      </x:c>
      <x:c r="D16" s="5" t="n">
        <x:v>481500</x:v>
      </x:c>
    </x:row>
    <x:row r="17" ht="26" customHeight="1">
      <x:c r="A17" s="1" t="str">
        <x:v>2025-04</x:v>
      </x:c>
      <x:c r="B17" s="1" t="str">
        <x:v>課後照顧</x:v>
      </x:c>
      <x:c r="C17" s="5" t="n">
        <x:v>1439</x:v>
      </x:c>
      <x:c r="D17" s="5" t="n">
        <x:v>1726800</x:v>
      </x:c>
    </x:row>
    <x:row r="18" ht="26" customHeight="1">
      <x:c r="A18" s="1" t="str">
        <x:v>2025-05</x:v>
      </x:c>
      <x:c r="B18" s="1" t="str">
        <x:v>家訪服務</x:v>
      </x:c>
      <x:c r="C18" s="5" t="n">
        <x:v>938</x:v>
      </x:c>
      <x:c r="D18" s="5" t="n">
        <x:v>0</x:v>
      </x:c>
    </x:row>
    <x:row r="19" ht="26" customHeight="1">
      <x:c r="A19" s="1" t="str">
        <x:v>2025-05</x:v>
      </x:c>
      <x:c r="B19" s="1" t="str">
        <x:v>急難救助</x:v>
      </x:c>
      <x:c r="C19" s="5" t="n">
        <x:v>62</x:v>
      </x:c>
      <x:c r="D19" s="5" t="n">
        <x:v>1116000</x:v>
      </x:c>
    </x:row>
    <x:row r="20" ht="26" customHeight="1">
      <x:c r="A20" s="1" t="str">
        <x:v>2025-05</x:v>
      </x:c>
      <x:c r="B20" s="1" t="str">
        <x:v>物資發放</x:v>
      </x:c>
      <x:c r="C20" s="5" t="n">
        <x:v>535</x:v>
      </x:c>
      <x:c r="D20" s="5" t="n">
        <x:v>481500</x:v>
      </x:c>
    </x:row>
    <x:row r="21" ht="26" customHeight="1">
      <x:c r="A21" s="1" t="str">
        <x:v>2025-05</x:v>
      </x:c>
      <x:c r="B21" s="1" t="str">
        <x:v>課後照顧</x:v>
      </x:c>
      <x:c r="C21" s="5" t="n">
        <x:v>1446</x:v>
      </x:c>
      <x:c r="D21" s="5" t="n">
        <x:v>1735200</x:v>
      </x:c>
    </x:row>
    <x:row r="22" ht="26" customHeight="1">
      <x:c r="A22" s="1" t="str">
        <x:v>2025-06</x:v>
      </x:c>
      <x:c r="B22" s="1" t="str">
        <x:v>家訪服務</x:v>
      </x:c>
      <x:c r="C22" s="5" t="n">
        <x:v>942</x:v>
      </x:c>
      <x:c r="D22" s="5" t="n">
        <x:v>0</x:v>
      </x:c>
    </x:row>
    <x:row r="23" ht="26" customHeight="1">
      <x:c r="A23" s="1" t="str">
        <x:v>2025-06</x:v>
      </x:c>
      <x:c r="B23" s="1" t="str">
        <x:v>急難救助</x:v>
      </x:c>
      <x:c r="C23" s="5" t="n">
        <x:v>62</x:v>
      </x:c>
      <x:c r="D23" s="5" t="n">
        <x:v>1116000</x:v>
      </x:c>
    </x:row>
    <x:row r="24" ht="26" customHeight="1">
      <x:c r="A24" s="1" t="str">
        <x:v>2025-06</x:v>
      </x:c>
      <x:c r="B24" s="1" t="str">
        <x:v>物資發放</x:v>
      </x:c>
      <x:c r="C24" s="5" t="n">
        <x:v>535</x:v>
      </x:c>
      <x:c r="D24" s="5" t="n">
        <x:v>481500</x:v>
      </x:c>
    </x:row>
    <x:row r="25" ht="26" customHeight="1">
      <x:c r="A25" s="1" t="str">
        <x:v>2025-06</x:v>
      </x:c>
      <x:c r="B25" s="1" t="str">
        <x:v>課後照顧</x:v>
      </x:c>
      <x:c r="C25" s="5" t="n">
        <x:v>1455</x:v>
      </x:c>
      <x:c r="D25" s="5" t="n">
        <x:v>1746000</x:v>
      </x:c>
    </x:row>
    <x:row r="26" ht="26" customHeight="1">
      <x:c r="A26" s="1" t="str">
        <x:v>2025-07</x:v>
      </x:c>
      <x:c r="B26" s="1" t="str">
        <x:v>家訪服務</x:v>
      </x:c>
      <x:c r="C26" s="5" t="n">
        <x:v>942</x:v>
      </x:c>
      <x:c r="D26" s="5" t="n">
        <x:v>0</x:v>
      </x:c>
    </x:row>
    <x:row r="27" ht="26" customHeight="1">
      <x:c r="A27" s="1" t="str">
        <x:v>2025-07</x:v>
      </x:c>
      <x:c r="B27" s="1" t="str">
        <x:v>急難救助</x:v>
      </x:c>
      <x:c r="C27" s="5" t="n">
        <x:v>62</x:v>
      </x:c>
      <x:c r="D27" s="5" t="n">
        <x:v>1116000</x:v>
      </x:c>
    </x:row>
    <x:row r="28" ht="26" customHeight="1">
      <x:c r="A28" s="1" t="str">
        <x:v>2025-07</x:v>
      </x:c>
      <x:c r="B28" s="1" t="str">
        <x:v>物資發放</x:v>
      </x:c>
      <x:c r="C28" s="5" t="n">
        <x:v>535</x:v>
      </x:c>
      <x:c r="D28" s="5" t="n">
        <x:v>481500</x:v>
      </x:c>
    </x:row>
    <x:row r="29" ht="26" customHeight="1">
      <x:c r="A29" s="1" t="str">
        <x:v>2025-07</x:v>
      </x:c>
      <x:c r="B29" s="1" t="str">
        <x:v>課後照顧</x:v>
      </x:c>
      <x:c r="C29" s="5" t="n">
        <x:v>805</x:v>
      </x:c>
      <x:c r="D29" s="5" t="n">
        <x:v>966000</x:v>
      </x:c>
    </x:row>
    <x:row r="30" ht="26" customHeight="1">
      <x:c r="A30" s="1" t="str">
        <x:v>2025-08</x:v>
      </x:c>
      <x:c r="B30" s="1" t="str">
        <x:v>家訪服務</x:v>
      </x:c>
      <x:c r="C30" s="5" t="n">
        <x:v>945</x:v>
      </x:c>
      <x:c r="D30" s="5" t="n">
        <x:v>0</x:v>
      </x:c>
    </x:row>
    <x:row r="31" ht="26" customHeight="1">
      <x:c r="A31" s="1" t="str">
        <x:v>2025-08</x:v>
      </x:c>
      <x:c r="B31" s="1" t="str">
        <x:v>急難救助</x:v>
      </x:c>
      <x:c r="C31" s="5" t="n">
        <x:v>328</x:v>
      </x:c>
      <x:c r="D31" s="5" t="n">
        <x:v>5904000</x:v>
      </x:c>
    </x:row>
    <x:row r="32" ht="26" customHeight="1">
      <x:c r="A32" s="1" t="str">
        <x:v>2025-08</x:v>
      </x:c>
      <x:c r="B32" s="1" t="str">
        <x:v>物資發放</x:v>
      </x:c>
      <x:c r="C32" s="5" t="n">
        <x:v>535</x:v>
      </x:c>
      <x:c r="D32" s="5" t="n">
        <x:v>481500</x:v>
      </x:c>
    </x:row>
    <x:row r="33" ht="26" customHeight="1">
      <x:c r="A33" s="1" t="str">
        <x:v>2025-08</x:v>
      </x:c>
      <x:c r="B33" s="1" t="str">
        <x:v>課後照顧</x:v>
      </x:c>
      <x:c r="C33" s="5" t="n">
        <x:v>808</x:v>
      </x:c>
      <x:c r="D33" s="5" t="n">
        <x:v>969600</x:v>
      </x:c>
    </x:row>
    <x:row r="34" ht="26" customHeight="1">
      <x:c r="A34" s="1" t="str">
        <x:v>2025-09</x:v>
      </x:c>
      <x:c r="B34" s="1" t="str">
        <x:v>家訪服務</x:v>
      </x:c>
      <x:c r="C34" s="5" t="n">
        <x:v>946</x:v>
      </x:c>
      <x:c r="D34" s="5" t="n">
        <x:v>0</x:v>
      </x:c>
    </x:row>
    <x:row r="35" ht="26" customHeight="1">
      <x:c r="A35" s="1" t="str">
        <x:v>2025-09</x:v>
      </x:c>
      <x:c r="B35" s="1" t="str">
        <x:v>急難救助</x:v>
      </x:c>
      <x:c r="C35" s="5" t="n">
        <x:v>131</x:v>
      </x:c>
      <x:c r="D35" s="5" t="n">
        <x:v>2358000</x:v>
      </x:c>
    </x:row>
    <x:row r="36" ht="26" customHeight="1">
      <x:c r="A36" s="1" t="str">
        <x:v>2025-09</x:v>
      </x:c>
      <x:c r="B36" s="1" t="str">
        <x:v>物資發放</x:v>
      </x:c>
      <x:c r="C36" s="5" t="n">
        <x:v>535</x:v>
      </x:c>
      <x:c r="D36" s="5" t="n">
        <x:v>481500</x:v>
      </x:c>
    </x:row>
    <x:row r="37" ht="26" customHeight="1">
      <x:c r="A37" s="1" t="str">
        <x:v>2025-09</x:v>
      </x:c>
      <x:c r="B37" s="1" t="str">
        <x:v>課後照顧</x:v>
      </x:c>
      <x:c r="C37" s="5" t="n">
        <x:v>1478</x:v>
      </x:c>
      <x:c r="D37" s="5" t="n">
        <x:v>1773600</x:v>
      </x:c>
    </x:row>
    <x:row r="38" ht="26" customHeight="1">
      <x:c r="A38" s="1" t="str">
        <x:v>2025-10</x:v>
      </x:c>
      <x:c r="B38" s="1" t="str">
        <x:v>家訪服務</x:v>
      </x:c>
      <x:c r="C38" s="5" t="n">
        <x:v>949</x:v>
      </x:c>
      <x:c r="D38" s="5" t="n">
        <x:v>0</x:v>
      </x:c>
    </x:row>
    <x:row r="39" ht="26" customHeight="1">
      <x:c r="A39" s="1" t="str">
        <x:v>2025-10</x:v>
      </x:c>
      <x:c r="B39" s="1" t="str">
        <x:v>急難救助</x:v>
      </x:c>
      <x:c r="C39" s="5" t="n">
        <x:v>62</x:v>
      </x:c>
      <x:c r="D39" s="5" t="n">
        <x:v>1116000</x:v>
      </x:c>
    </x:row>
    <x:row r="40" ht="26" customHeight="1">
      <x:c r="A40" s="1" t="str">
        <x:v>2025-10</x:v>
      </x:c>
      <x:c r="B40" s="1" t="str">
        <x:v>物資發放</x:v>
      </x:c>
      <x:c r="C40" s="5" t="n">
        <x:v>535</x:v>
      </x:c>
      <x:c r="D40" s="5" t="n">
        <x:v>481500</x:v>
      </x:c>
    </x:row>
    <x:row r="41" ht="26" customHeight="1">
      <x:c r="A41" s="1" t="str">
        <x:v>2025-10</x:v>
      </x:c>
      <x:c r="B41" s="1" t="str">
        <x:v>課後照顧</x:v>
      </x:c>
      <x:c r="C41" s="5" t="n">
        <x:v>1486</x:v>
      </x:c>
      <x:c r="D41" s="5" t="n">
        <x:v>1783200</x:v>
      </x:c>
    </x:row>
    <x:row r="42" ht="26" customHeight="1">
      <x:c r="A42" s="1" t="str">
        <x:v>2025-11</x:v>
      </x:c>
      <x:c r="B42" s="1" t="str">
        <x:v>家訪服務</x:v>
      </x:c>
      <x:c r="C42" s="5" t="n">
        <x:v>949</x:v>
      </x:c>
      <x:c r="D42" s="5" t="n">
        <x:v>0</x:v>
      </x:c>
    </x:row>
    <x:row r="43" ht="26" customHeight="1">
      <x:c r="A43" s="1" t="str">
        <x:v>2025-11</x:v>
      </x:c>
      <x:c r="B43" s="1" t="str">
        <x:v>急難救助</x:v>
      </x:c>
      <x:c r="C43" s="5" t="n">
        <x:v>62</x:v>
      </x:c>
      <x:c r="D43" s="5" t="n">
        <x:v>1116000</x:v>
      </x:c>
    </x:row>
    <x:row r="44" ht="26" customHeight="1">
      <x:c r="A44" s="1" t="str">
        <x:v>2025-11</x:v>
      </x:c>
      <x:c r="B44" s="1" t="str">
        <x:v>物資發放</x:v>
      </x:c>
      <x:c r="C44" s="5" t="n">
        <x:v>535</x:v>
      </x:c>
      <x:c r="D44" s="5" t="n">
        <x:v>481500</x:v>
      </x:c>
    </x:row>
    <x:row r="45" ht="26" customHeight="1">
      <x:c r="A45" s="1" t="str">
        <x:v>2025-11</x:v>
      </x:c>
      <x:c r="B45" s="1" t="str">
        <x:v>課後照顧</x:v>
      </x:c>
      <x:c r="C45" s="5" t="n">
        <x:v>1493</x:v>
      </x:c>
      <x:c r="D45" s="5" t="n">
        <x:v>1791600</x:v>
      </x:c>
    </x:row>
    <x:row r="46" ht="26" customHeight="1">
      <x:c r="A46" s="1" t="str">
        <x:v>2025-12</x:v>
      </x:c>
      <x:c r="B46" s="1" t="str">
        <x:v>家訪服務</x:v>
      </x:c>
      <x:c r="C46" s="5" t="n">
        <x:v>952</x:v>
      </x:c>
      <x:c r="D46" s="5" t="n">
        <x:v>0</x:v>
      </x:c>
    </x:row>
    <x:row r="47" ht="26" customHeight="1">
      <x:c r="A47" s="1" t="str">
        <x:v>2025-12</x:v>
      </x:c>
      <x:c r="B47" s="1" t="str">
        <x:v>急難救助</x:v>
      </x:c>
      <x:c r="C47" s="5" t="n">
        <x:v>62</x:v>
      </x:c>
      <x:c r="D47" s="5" t="n">
        <x:v>1116000</x:v>
      </x:c>
    </x:row>
    <x:row r="48" ht="26" customHeight="1">
      <x:c r="A48" s="1" t="str">
        <x:v>2025-12</x:v>
      </x:c>
      <x:c r="B48" s="1" t="str">
        <x:v>物資發放</x:v>
      </x:c>
      <x:c r="C48" s="5" t="n">
        <x:v>1391</x:v>
      </x:c>
      <x:c r="D48" s="5" t="n">
        <x:v>1251900</x:v>
      </x:c>
    </x:row>
    <x:row r="49" ht="26" customHeight="1">
      <x:c r="A49" s="1" t="str">
        <x:v>2025-12</x:v>
      </x:c>
      <x:c r="B49" s="1" t="str">
        <x:v>課後照顧</x:v>
      </x:c>
      <x:c r="C49" s="5" t="n">
        <x:v>1502</x:v>
      </x:c>
      <x:c r="D49" s="5" t="n">
        <x:v>1802400</x:v>
      </x:c>
    </x:row>
  </x:sheetData>
  <x:pageMargins left="0.7" right="0.7" top="0.75" bottom="0.75" header="0.3" footer="0.3"/>
  <x:tableParts count="1">
    <x:tablePart xmlns:r="http://schemas.openxmlformats.org/officeDocument/2006/relationships" r:id="R53f28ac409fd4f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</x:cols>
  <x:sheetData>
    <x:row r="1" ht="30" customHeight="1">
      <x:c r="A1" s="3" t="str">
        <x:v>列號</x:v>
      </x:c>
      <x:c r="B1" s="3" t="str">
        <x:v>月份</x:v>
      </x:c>
      <x:c r="C1" s="3" t="str">
        <x:v>服務類型</x:v>
      </x:c>
      <x:c r="D1" s="3" t="str">
        <x:v>服務人次</x:v>
      </x:c>
      <x:c r="E1" s="3" t="str">
        <x:v>支出金額</x:v>
      </x:c>
    </x:row>
    <x:row r="2" ht="26" customHeight="1">
      <x:c r="A2" s="1" t="n">
        <x:v>1</x:v>
      </x:c>
      <x:c r="B2" s="1" t="str">
        <x:v>2025-01</x:v>
      </x:c>
      <x:c r="C2" s="1" t="str">
        <x:v>家訪服務</x:v>
      </x:c>
      <x:c r="D2" s="5" t="n">
        <x:v>792</x:v>
      </x:c>
      <x:c r="E2" s="5" t="n">
        <x:v>0</x:v>
      </x:c>
    </x:row>
    <x:row r="3" ht="26" customHeight="1">
      <x:c r="A3" s="1" t="n">
        <x:v>2</x:v>
      </x:c>
      <x:c r="B3" s="1" t="str">
        <x:v>2025-01</x:v>
      </x:c>
      <x:c r="C3" s="1" t="str">
        <x:v> 急難救助 </x:v>
      </x:c>
      <x:c r="D3" s="5" t="n">
        <x:v>62</x:v>
      </x:c>
      <x:c r="E3" s="5" t="n">
        <x:v>1116000</x:v>
      </x:c>
    </x:row>
    <x:row r="4" ht="26" customHeight="1">
      <x:c r="A4" s="1" t="n">
        <x:v>3</x:v>
      </x:c>
      <x:c r="B4" s="1" t="str">
        <x:v>2025-01</x:v>
      </x:c>
      <x:c r="C4" s="1" t="str">
        <x:v>物資發放</x:v>
      </x:c>
      <x:c r="D4" s="5"/>
      <x:c r="E4" s="5" t="n">
        <x:v>626400</x:v>
      </x:c>
    </x:row>
    <x:row r="5" ht="26" customHeight="1">
      <x:c r="A5" s="1" t="n">
        <x:v>4</x:v>
      </x:c>
      <x:c r="B5" s="1" t="str">
        <x:v>2025-01</x:v>
      </x:c>
      <x:c r="C5" s="1" t="str">
        <x:v>課後照顧</x:v>
      </x:c>
      <x:c r="D5" s="5" t="n">
        <x:v>1415</x:v>
      </x:c>
      <x:c r="E5" s="5" t="str">
        <x:v>1698000</x:v>
      </x:c>
    </x:row>
    <x:row r="6" ht="26" customHeight="1">
      <x:c r="A6" s="1" t="n">
        <x:v>5</x:v>
      </x:c>
      <x:c r="B6" s="1" t="str">
        <x:v>2025-02</x:v>
      </x:c>
      <x:c r="C6" s="1" t="str">
        <x:v>家訪服務</x:v>
      </x:c>
      <x:c r="D6" s="5" t="n">
        <x:v>794</x:v>
      </x:c>
      <x:c r="E6" s="5" t="n">
        <x:v>0</x:v>
      </x:c>
    </x:row>
    <x:row r="7" ht="26" customHeight="1">
      <x:c r="A7" s="1" t="n">
        <x:v>6</x:v>
      </x:c>
      <x:c r="B7" s="1" t="str">
        <x:v>2025-02</x:v>
      </x:c>
      <x:c r="C7" s="1" t="str">
        <x:v>急難救助</x:v>
      </x:c>
      <x:c r="D7" s="5" t="n">
        <x:v>62</x:v>
      </x:c>
      <x:c r="E7" s="5" t="n">
        <x:v>1116000</x:v>
      </x:c>
    </x:row>
    <x:row r="8" ht="26" customHeight="1">
      <x:c r="A8" s="1" t="n">
        <x:v>7</x:v>
      </x:c>
      <x:c r="B8" s="1" t="str">
        <x:v>2025-02</x:v>
      </x:c>
      <x:c r="C8" s="1" t="str">
        <x:v>物資發放</x:v>
      </x:c>
      <x:c r="D8" s="5" t="n">
        <x:v>535</x:v>
      </x:c>
      <x:c r="E8" s="5" t="n">
        <x:v>481500</x:v>
      </x:c>
    </x:row>
    <x:row r="9" ht="26" customHeight="1">
      <x:c r="A9" s="1" t="n">
        <x:v>8</x:v>
      </x:c>
      <x:c r="B9" s="1" t="str">
        <x:v>2025-02</x:v>
      </x:c>
      <x:c r="C9" s="1" t="str">
        <x:v>課後照顧</x:v>
      </x:c>
      <x:c r="D9" s="5" t="n">
        <x:v>1422</x:v>
      </x:c>
      <x:c r="E9" s="5" t="n">
        <x:v>1706400</x:v>
      </x:c>
    </x:row>
    <x:row r="10" ht="26" customHeight="1">
      <x:c r="A10" s="1" t="n">
        <x:v>9</x:v>
      </x:c>
      <x:c r="B10" s="1" t="str">
        <x:v>2025-03</x:v>
      </x:c>
      <x:c r="C10" s="1" t="str">
        <x:v>家訪服務</x:v>
      </x:c>
      <x:c r="D10" s="5" t="n">
        <x:v>935</x:v>
      </x:c>
      <x:c r="E10" s="5" t="n">
        <x:v>0</x:v>
      </x:c>
    </x:row>
    <x:row r="11" ht="26" customHeight="1">
      <x:c r="A11" s="1" t="n">
        <x:v>10</x:v>
      </x:c>
      <x:c r="B11" s="1" t="str">
        <x:v>2025-03</x:v>
      </x:c>
      <x:c r="C11" s="1" t="str">
        <x:v>急難救助</x:v>
      </x:c>
      <x:c r="D11" s="5" t="n">
        <x:v>62</x:v>
      </x:c>
      <x:c r="E11" s="5" t="n">
        <x:v>1116000</x:v>
      </x:c>
    </x:row>
    <x:row r="12" ht="26" customHeight="1">
      <x:c r="A12" s="1" t="n">
        <x:v>11</x:v>
      </x:c>
      <x:c r="B12" s="1" t="str">
        <x:v>2025-03</x:v>
      </x:c>
      <x:c r="C12" s="1" t="str">
        <x:v>物資發放</x:v>
      </x:c>
      <x:c r="D12" s="5" t="n">
        <x:v>535</x:v>
      </x:c>
      <x:c r="E12" s="5" t="n">
        <x:v>481500</x:v>
      </x:c>
    </x:row>
    <x:row r="13" ht="26" customHeight="1">
      <x:c r="A13" s="1" t="n">
        <x:v>12</x:v>
      </x:c>
      <x:c r="B13" s="1" t="str">
        <x:v>2025-03</x:v>
      </x:c>
      <x:c r="C13" s="1" t="str">
        <x:v>課後照顧</x:v>
      </x:c>
      <x:c r="D13" s="5" t="n">
        <x:v>1430</x:v>
      </x:c>
      <x:c r="E13" s="5" t="n">
        <x:v>1716000</x:v>
      </x:c>
    </x:row>
    <x:row r="14" ht="26" customHeight="1">
      <x:c r="A14" s="1" t="n">
        <x:v>13</x:v>
      </x:c>
      <x:c r="B14" s="1" t="str">
        <x:v>2025-01</x:v>
      </x:c>
      <x:c r="C14" s="1" t="str">
        <x:v>急難救助</x:v>
      </x:c>
      <x:c r="D14" s="5" t="n">
        <x:v>62</x:v>
      </x:c>
      <x:c r="E14" s="5" t="n">
        <x:v>1116000</x:v>
      </x:c>
    </x:row>
  </x:sheetData>
  <x:pageMargins left="0.7" right="0.7" top="0.75" bottom="0.75" header="0.3" footer="0.3"/>
  <x:tableParts count="1">
    <x:tablePart xmlns:r="http://schemas.openxmlformats.org/officeDocument/2006/relationships" r:id="R2aff1d2e60c344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4" hidden="0" customWidth="1"/>
  </x:cols>
  <x:sheetData>
    <x:row r="1" ht="30" customHeight="1">
      <x:c r="A1" s="3" t="str">
        <x:v>科目</x:v>
      </x:c>
      <x:c r="B1" s="3" t="str">
        <x:v>預算金額（元）</x:v>
      </x:c>
      <x:c r="C1" s="3" t="str">
        <x:v>性質</x:v>
      </x:c>
    </x:row>
    <x:row r="2" ht="26" customHeight="1">
      <x:c r="A2" s="1" t="str">
        <x:v>物資採購</x:v>
      </x:c>
      <x:c r="B2" s="5" t="n">
        <x:v>216000</x:v>
      </x:c>
      <x:c r="C2" s="1" t="str">
        <x:v>預定</x:v>
      </x:c>
    </x:row>
    <x:row r="3" ht="26" customHeight="1">
      <x:c r="A3" s="1" t="str">
        <x:v>場地佈置與租借</x:v>
      </x:c>
      <x:c r="B3" s="5" t="n">
        <x:v>8000</x:v>
      </x:c>
      <x:c r="C3" s="1" t="str">
        <x:v>預定</x:v>
      </x:c>
    </x:row>
    <x:row r="4" ht="26" customHeight="1">
      <x:c r="A4" s="1" t="str">
        <x:v>志工餐費與保險</x:v>
      </x:c>
      <x:c r="B4" s="5" t="n">
        <x:v>7500</x:v>
      </x:c>
      <x:c r="C4" s="1" t="str">
        <x:v>預定</x:v>
      </x:c>
    </x:row>
    <x:row r="5" ht="26" customHeight="1">
      <x:c r="A5" s="6" t="str">
        <x:v>合計</x:v>
      </x:c>
      <x:c r="B5" s="7" t="n">
        <x:f>SUM(B2:B4)</x:f>
        <x:v>231500</x:v>
      </x:c>
      <x:c r="C5" s="6" t="str">
        <x:v>公式計算</x:v>
      </x:c>
    </x:row>
  </x:sheetData>
  <x:pageMargins left="0.7" right="0.7" top="0.75" bottom="0.75" header="0.3" footer="0.3"/>
</x:worksheet>
</file>